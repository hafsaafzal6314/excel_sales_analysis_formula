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c7642e1ecba65/Desktop/excel projecs/"/>
    </mc:Choice>
  </mc:AlternateContent>
  <xr:revisionPtr revIDLastSave="274" documentId="8_{DFEBEA5B-FAB1-44AB-A192-78949DE2D5B4}" xr6:coauthVersionLast="47" xr6:coauthVersionMax="47" xr10:uidLastSave="{5A637FF2-2A62-4FBF-A10D-A6FD703E9CBA}"/>
  <bookViews>
    <workbookView xWindow="-96" yWindow="0" windowWidth="11712" windowHeight="12336" xr2:uid="{52784405-AB7B-4038-8160-AD39BF6C59DC}"/>
  </bookViews>
  <sheets>
    <sheet name="Sheet1" sheetId="1" r:id="rId1"/>
    <sheet name="Sheet2" sheetId="2" r:id="rId2"/>
  </sheets>
  <calcPr calcId="191029"/>
  <pivotCaches>
    <pivotCache cacheId="5" r:id="rId3"/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4" i="1" l="1"/>
  <c r="M21" i="1"/>
  <c r="M18" i="1"/>
  <c r="I24" i="1"/>
  <c r="I21" i="1"/>
  <c r="I18" i="1"/>
  <c r="M13" i="1"/>
  <c r="M10" i="1"/>
  <c r="M7" i="1"/>
  <c r="M4" i="1"/>
  <c r="I13" i="1"/>
  <c r="I10" i="1"/>
  <c r="I7" i="1"/>
  <c r="I4" i="1"/>
  <c r="E52" i="1"/>
  <c r="D56" i="1"/>
  <c r="D54" i="1"/>
  <c r="D52" i="1"/>
  <c r="F52" i="1"/>
</calcChain>
</file>

<file path=xl/sharedStrings.xml><?xml version="1.0" encoding="utf-8"?>
<sst xmlns="http://schemas.openxmlformats.org/spreadsheetml/2006/main" count="245" uniqueCount="96">
  <si>
    <t>Order ID</t>
  </si>
  <si>
    <t>Date</t>
  </si>
  <si>
    <t>Region</t>
  </si>
  <si>
    <t>Category</t>
  </si>
  <si>
    <t>Product</t>
  </si>
  <si>
    <t>Sales</t>
  </si>
  <si>
    <t>Quantity</t>
  </si>
  <si>
    <t>O001</t>
  </si>
  <si>
    <t>East</t>
  </si>
  <si>
    <t>Electronics</t>
  </si>
  <si>
    <t>Laptop</t>
  </si>
  <si>
    <t>O002</t>
  </si>
  <si>
    <t>West</t>
  </si>
  <si>
    <t>Furniture</t>
  </si>
  <si>
    <t>Chair</t>
  </si>
  <si>
    <t>O003</t>
  </si>
  <si>
    <t>North</t>
  </si>
  <si>
    <t>Mobile</t>
  </si>
  <si>
    <t>O004</t>
  </si>
  <si>
    <t>South</t>
  </si>
  <si>
    <t>Clothing</t>
  </si>
  <si>
    <t>T-Shirt</t>
  </si>
  <si>
    <t>O005</t>
  </si>
  <si>
    <t>Table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</si>
  <si>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</si>
  <si>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</si>
  <si>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</si>
  <si>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</si>
  <si>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</si>
  <si>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</si>
  <si>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</si>
  <si>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</si>
  <si>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</si>
  <si>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</si>
  <si>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</si>
  <si>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</si>
  <si>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</si>
  <si>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</si>
  <si>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</si>
  <si>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</si>
  <si>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</si>
  <si>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</si>
  <si>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</si>
  <si>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</si>
  <si>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</si>
  <si>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</si>
  <si>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</si>
  <si>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</si>
  <si>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</si>
  <si>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</si>
  <si>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</si>
  <si>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</si>
  <si>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</si>
  <si>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</si>
  <si>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</si>
  <si>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</si>
  <si>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</si>
  <si>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</si>
  <si>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</si>
  <si>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Tablet</t>
  </si>
  <si>
    <t>Sofa</t>
  </si>
  <si>
    <t>Jeans</t>
  </si>
  <si>
    <t>Jacket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</si>
  <si>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</si>
  <si>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</si>
  <si>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</si>
  <si>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</si>
  <si>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</si>
  <si>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</si>
  <si>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</si>
  <si>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</si>
  <si>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</si>
  <si>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</si>
  <si>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sum of sales</t>
  </si>
  <si>
    <t>count of electronics</t>
  </si>
  <si>
    <t>count of clothing</t>
  </si>
  <si>
    <t>count of furniture</t>
  </si>
  <si>
    <t>Total sales from North</t>
  </si>
  <si>
    <t>=</t>
  </si>
  <si>
    <t>Row Labels</t>
  </si>
  <si>
    <t>Sum of Sales</t>
  </si>
  <si>
    <t>Grand Total</t>
  </si>
  <si>
    <t>Count of Product</t>
  </si>
  <si>
    <t>Total sales from south</t>
  </si>
  <si>
    <t>Total Sales from East</t>
  </si>
  <si>
    <t>Total sales from West</t>
  </si>
  <si>
    <t>count orders from North</t>
  </si>
  <si>
    <t>Count orders from South</t>
  </si>
  <si>
    <t>Count orders from East</t>
  </si>
  <si>
    <t>Count orders from West</t>
  </si>
  <si>
    <t>Total sales for electronics</t>
  </si>
  <si>
    <t>Total sales for clothing</t>
  </si>
  <si>
    <t>total sales for furniture</t>
  </si>
  <si>
    <t>Total sales for North + electronics</t>
  </si>
  <si>
    <t>Total sales for North + Clothing</t>
  </si>
  <si>
    <t>Total sales from north +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</si>
</sst>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15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5" borderId="1" xfId="0" applyFill="1" applyBorder="1"/>
    <xf numFmtId="0" fontId="0" fillId="5" borderId="2" xfId="0" applyFill="1" applyBorder="1"/>
    <xf numFmtId="0" fontId="0" fillId="4" borderId="1" xfId="0" applyFill="1" applyBorder="1"/>
    <xf numFmtId="0" fontId="0" fillId="4" borderId="2" xfId="0" applyFill="1" applyBorder="1"/>
    <xf numFmtId="164" fontId="0" fillId="3" borderId="1" xfId="0" applyNumberFormat="1" applyFill="1" applyBorder="1"/>
    <xf numFmtId="0" fontId="0" fillId="3" borderId="2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164" fontId="4" fillId="6" borderId="6" xfId="0" applyNumberFormat="1" applyFont="1" applyFill="1" applyBorder="1" applyAlignment="1">
      <alignment horizontal="center"/>
    </xf>
    <xf numFmtId="164" fontId="4" fillId="6" borderId="7" xfId="0" applyNumberFormat="1" applyFont="1" applyFill="1" applyBorder="1" applyAlignment="1">
      <alignment horizontal="center"/>
    </xf>
    <xf numFmtId="164" fontId="4" fillId="6" borderId="8" xfId="0" applyNumberFormat="1" applyFont="1" applyFill="1" applyBorder="1" applyAlignment="1">
      <alignment horizontal="center"/>
    </xf>
    <xf numFmtId="164" fontId="4" fillId="2" borderId="6" xfId="0" applyNumberFormat="1" applyFont="1" applyFill="1" applyBorder="1" applyAlignment="1">
      <alignment horizontal="center"/>
    </xf>
    <xf numFmtId="164" fontId="4" fillId="2" borderId="7" xfId="0" applyNumberFormat="1" applyFont="1" applyFill="1" applyBorder="1" applyAlignment="1">
      <alignment horizontal="center"/>
    </xf>
    <xf numFmtId="164" fontId="4" fillId="2" borderId="8" xfId="0" applyNumberFormat="1" applyFont="1" applyFill="1" applyBorder="1" applyAlignment="1">
      <alignment horizontal="center"/>
    </xf>
    <xf numFmtId="164" fontId="4" fillId="8" borderId="6" xfId="0" applyNumberFormat="1" applyFont="1" applyFill="1" applyBorder="1" applyAlignment="1">
      <alignment horizontal="center"/>
    </xf>
    <xf numFmtId="164" fontId="4" fillId="8" borderId="7" xfId="0" applyNumberFormat="1" applyFont="1" applyFill="1" applyBorder="1" applyAlignment="1">
      <alignment horizontal="center"/>
    </xf>
    <xf numFmtId="164" fontId="4" fillId="8" borderId="8" xfId="0" applyNumberFormat="1" applyFont="1" applyFill="1" applyBorder="1" applyAlignment="1">
      <alignment horizontal="center"/>
    </xf>
    <xf numFmtId="164" fontId="4" fillId="7" borderId="6" xfId="0" applyNumberFormat="1" applyFont="1" applyFill="1" applyBorder="1" applyAlignment="1">
      <alignment horizontal="center"/>
    </xf>
    <xf numFmtId="164" fontId="4" fillId="7" borderId="7" xfId="0" applyNumberFormat="1" applyFont="1" applyFill="1" applyBorder="1" applyAlignment="1">
      <alignment horizontal="center"/>
    </xf>
    <xf numFmtId="164" fontId="4" fillId="7" borderId="8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4" fillId="9" borderId="3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164" fontId="4" fillId="9" borderId="6" xfId="0" applyNumberFormat="1" applyFont="1" applyFill="1" applyBorder="1" applyAlignment="1">
      <alignment horizontal="center"/>
    </xf>
    <xf numFmtId="164" fontId="4" fillId="9" borderId="7" xfId="0" applyNumberFormat="1" applyFont="1" applyFill="1" applyBorder="1" applyAlignment="1">
      <alignment horizontal="center"/>
    </xf>
    <xf numFmtId="164" fontId="4" fillId="9" borderId="8" xfId="0" applyNumberFormat="1" applyFont="1" applyFill="1" applyBorder="1" applyAlignment="1">
      <alignment horizontal="center"/>
    </xf>
    <xf numFmtId="164" fontId="4" fillId="9" borderId="3" xfId="0" applyNumberFormat="1" applyFont="1" applyFill="1" applyBorder="1" applyAlignment="1">
      <alignment horizontal="center"/>
    </xf>
    <xf numFmtId="164" fontId="4" fillId="9" borderId="4" xfId="0" applyNumberFormat="1" applyFont="1" applyFill="1" applyBorder="1" applyAlignment="1">
      <alignment horizontal="center"/>
    </xf>
    <xf numFmtId="164" fontId="4" fillId="9" borderId="5" xfId="0" applyNumberFormat="1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10" borderId="7" xfId="0" applyFont="1" applyFill="1" applyBorder="1" applyAlignment="1">
      <alignment horizontal="center"/>
    </xf>
    <xf numFmtId="0" fontId="4" fillId="10" borderId="8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</cellXfs>
  <cellStyles count="1">
    <cellStyle name="Normal" xfId="0" builtinId="0"/>
  </cellStyles>
  <dxfs count="4">
    <dxf>
      <numFmt numFmtId="164" formatCode="&quot;₹&quot;\ #,##0.00"/>
      <fill>
        <patternFill patternType="solid">
          <fgColor indexed="64"/>
          <bgColor theme="2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/>
      </border>
    </dxf>
    <dxf>
      <numFmt numFmtId="20" formatCode="dd/mmm/yy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fsa" refreshedDate="46197.906489930552" createdVersion="8" refreshedVersion="8" minRefreshableVersion="3" recordCount="50" xr:uid="{990E1E9A-571E-405E-8944-F3195034ADDE}">
  <cacheSource type="worksheet">
    <worksheetSource name="Table2"/>
  </cacheSource>
  <cacheFields count="7">
    <cacheField name="Order ID" numFmtId="0">
      <sharedItems/>
    </cacheField>
    <cacheField name="Date" numFmtId="15">
      <sharedItems containsSemiMixedTypes="0" containsNonDate="0" containsDate="1" containsString="0" minDate="2025-01-01T00:00:00" maxDate="2025-02-20T00:00:00"/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/>
    </cacheField>
    <cacheField name="Product" numFmtId="0">
      <sharedItems/>
    </cacheField>
    <cacheField name="Sales" numFmtId="0">
      <sharedItems containsSemiMixedTypes="0" containsString="0" containsNumber="1" containsInteger="1" minValue="2500" maxValue="49000"/>
    </cacheField>
    <cacheField name="Quantity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fsa" refreshedDate="46197.907086921296" createdVersion="8" refreshedVersion="8" minRefreshableVersion="3" recordCount="50" xr:uid="{EC05727E-657F-46EC-8149-E4D0B7C56D23}">
  <cacheSource type="worksheet">
    <worksheetSource name="Table2"/>
  </cacheSource>
  <cacheFields count="7">
    <cacheField name="Order ID" numFmtId="0">
      <sharedItems/>
    </cacheField>
    <cacheField name="Date" numFmtId="15">
      <sharedItems containsSemiMixedTypes="0" containsNonDate="0" containsDate="1" containsString="0" minDate="2025-01-01T00:00:00" maxDate="2025-02-20T00:00:00"/>
    </cacheField>
    <cacheField name="Region" numFmtId="0">
      <sharedItems/>
    </cacheField>
    <cacheField name="Category" numFmtId="0">
      <sharedItems/>
    </cacheField>
    <cacheField name="Product" numFmtId="0">
      <sharedItems count="9">
        <s v="Laptop"/>
        <s v="Chair"/>
        <s v="Mobile"/>
        <s v="T-Shirt"/>
        <s v="Table"/>
        <s v="Tablet"/>
        <s v="Sofa"/>
        <s v="Jeans"/>
        <s v="Jacket"/>
      </sharedItems>
    </cacheField>
    <cacheField name="Sales" numFmtId="0">
      <sharedItems containsSemiMixedTypes="0" containsString="0" containsNumber="1" containsInteger="1" minValue="2500" maxValue="49000"/>
    </cacheField>
    <cacheField name="Quantity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O001"/>
    <d v="2025-01-01T00:00:00"/>
    <x v="0"/>
    <s v="Electronics"/>
    <s v="Laptop"/>
    <n v="45000"/>
    <n v="2"/>
  </r>
  <r>
    <s v="O002"/>
    <d v="2025-01-02T00:00:00"/>
    <x v="1"/>
    <s v="Furniture"/>
    <s v="Chair"/>
    <n v="8000"/>
    <n v="4"/>
  </r>
  <r>
    <s v="O003"/>
    <d v="2025-01-03T00:00:00"/>
    <x v="2"/>
    <s v="Electronics"/>
    <s v="Mobile"/>
    <n v="25000"/>
    <n v="5"/>
  </r>
  <r>
    <s v="O004"/>
    <d v="2025-01-04T00:00:00"/>
    <x v="3"/>
    <s v="Clothing"/>
    <s v="T-Shirt"/>
    <n v="3000"/>
    <n v="10"/>
  </r>
  <r>
    <s v="O005"/>
    <d v="2025-01-05T00:00:00"/>
    <x v="0"/>
    <s v="Furniture"/>
    <s v="Table"/>
    <n v="12000"/>
    <n v="2"/>
  </r>
  <r>
    <s v="O006"/>
    <d v="2025-01-06T00:00:00"/>
    <x v="1"/>
    <s v="Electronics"/>
    <s v="Tablet"/>
    <n v="18000"/>
    <n v="3"/>
  </r>
  <r>
    <s v="O007"/>
    <d v="2025-01-07T00:00:00"/>
    <x v="2"/>
    <s v="Furniture"/>
    <s v="Sofa"/>
    <n v="35000"/>
    <n v="1"/>
  </r>
  <r>
    <s v="O008"/>
    <d v="2025-01-08T00:00:00"/>
    <x v="3"/>
    <s v="Clothing"/>
    <s v="Jeans"/>
    <n v="4500"/>
    <n v="6"/>
  </r>
  <r>
    <s v="O009"/>
    <d v="2025-01-09T00:00:00"/>
    <x v="0"/>
    <s v="Electronics"/>
    <s v="Mobile"/>
    <n v="22000"/>
    <n v="4"/>
  </r>
  <r>
    <s v="O010"/>
    <d v="2025-01-10T00:00:00"/>
    <x v="1"/>
    <s v="Furniture"/>
    <s v="Table"/>
    <n v="15000"/>
    <n v="2"/>
  </r>
  <r>
    <s v="O011"/>
    <d v="2025-01-11T00:00:00"/>
    <x v="2"/>
    <s v="Clothing"/>
    <s v="Jacket"/>
    <n v="6000"/>
    <n v="3"/>
  </r>
  <r>
    <s v="O012"/>
    <d v="2025-01-12T00:00:00"/>
    <x v="3"/>
    <s v="Electronics"/>
    <s v="Laptop"/>
    <n v="48000"/>
    <n v="2"/>
  </r>
  <r>
    <s v="O013"/>
    <d v="2025-01-13T00:00:00"/>
    <x v="0"/>
    <s v="Furniture"/>
    <s v="Chair"/>
    <n v="9000"/>
    <n v="5"/>
  </r>
  <r>
    <s v="O014"/>
    <d v="2025-01-14T00:00:00"/>
    <x v="1"/>
    <s v="Clothing"/>
    <s v="T-Shirt"/>
    <n v="2500"/>
    <n v="8"/>
  </r>
  <r>
    <s v="O015"/>
    <d v="2025-01-15T00:00:00"/>
    <x v="2"/>
    <s v="Electronics"/>
    <s v="Tablet"/>
    <n v="20000"/>
    <n v="3"/>
  </r>
  <r>
    <s v="O016"/>
    <d v="2025-01-16T00:00:00"/>
    <x v="3"/>
    <s v="Furniture"/>
    <s v="Sofa"/>
    <n v="40000"/>
    <n v="1"/>
  </r>
  <r>
    <s v="O017"/>
    <d v="2025-01-17T00:00:00"/>
    <x v="0"/>
    <s v="Clothing"/>
    <s v="Jeans"/>
    <n v="5500"/>
    <n v="4"/>
  </r>
  <r>
    <s v="O018"/>
    <d v="2025-01-18T00:00:00"/>
    <x v="1"/>
    <s v="Electronics"/>
    <s v="Mobile"/>
    <n v="27000"/>
    <n v="5"/>
  </r>
  <r>
    <s v="O019"/>
    <d v="2025-01-19T00:00:00"/>
    <x v="2"/>
    <s v="Furniture"/>
    <s v="Table"/>
    <n v="13000"/>
    <n v="2"/>
  </r>
  <r>
    <s v="O020"/>
    <d v="2025-01-20T00:00:00"/>
    <x v="3"/>
    <s v="Clothing"/>
    <s v="Jacket"/>
    <n v="7000"/>
    <n v="3"/>
  </r>
  <r>
    <s v="O021"/>
    <d v="2025-01-21T00:00:00"/>
    <x v="0"/>
    <s v="Electronics"/>
    <s v="Laptop"/>
    <n v="46000"/>
    <n v="2"/>
  </r>
  <r>
    <s v="O022"/>
    <d v="2025-01-22T00:00:00"/>
    <x v="1"/>
    <s v="Furniture"/>
    <s v="Chair"/>
    <n v="8500"/>
    <n v="4"/>
  </r>
  <r>
    <s v="O023"/>
    <d v="2025-01-23T00:00:00"/>
    <x v="2"/>
    <s v="Electronics"/>
    <s v="Mobile"/>
    <n v="24000"/>
    <n v="5"/>
  </r>
  <r>
    <s v="O024"/>
    <d v="2025-01-24T00:00:00"/>
    <x v="3"/>
    <s v="Clothing"/>
    <s v="T-Shirt"/>
    <n v="3200"/>
    <n v="9"/>
  </r>
  <r>
    <s v="O025"/>
    <d v="2025-01-25T00:00:00"/>
    <x v="0"/>
    <s v="Furniture"/>
    <s v="Sofa"/>
    <n v="37000"/>
    <n v="1"/>
  </r>
  <r>
    <s v="O026"/>
    <d v="2025-01-26T00:00:00"/>
    <x v="1"/>
    <s v="Electronics"/>
    <s v="Tablet"/>
    <n v="19000"/>
    <n v="3"/>
  </r>
  <r>
    <s v="O027"/>
    <d v="2025-01-27T00:00:00"/>
    <x v="2"/>
    <s v="Clothing"/>
    <s v="Jeans"/>
    <n v="5000"/>
    <n v="4"/>
  </r>
  <r>
    <s v="O028"/>
    <d v="2025-01-28T00:00:00"/>
    <x v="3"/>
    <s v="Furniture"/>
    <s v="Table"/>
    <n v="14000"/>
    <n v="2"/>
  </r>
  <r>
    <s v="O029"/>
    <d v="2025-01-29T00:00:00"/>
    <x v="0"/>
    <s v="Electronics"/>
    <s v="Mobile"/>
    <n v="26000"/>
    <n v="4"/>
  </r>
  <r>
    <s v="O030"/>
    <d v="2025-01-30T00:00:00"/>
    <x v="1"/>
    <s v="Clothing"/>
    <s v="Jacket"/>
    <n v="6500"/>
    <n v="3"/>
  </r>
  <r>
    <s v="O031"/>
    <d v="2025-01-31T00:00:00"/>
    <x v="2"/>
    <s v="Furniture"/>
    <s v="Chair"/>
    <n v="9500"/>
    <n v="5"/>
  </r>
  <r>
    <s v="O032"/>
    <d v="2025-02-01T00:00:00"/>
    <x v="3"/>
    <s v="Electronics"/>
    <s v="Laptop"/>
    <n v="47000"/>
    <n v="2"/>
  </r>
  <r>
    <s v="O033"/>
    <d v="2025-02-02T00:00:00"/>
    <x v="0"/>
    <s v="Clothing"/>
    <s v="T-Shirt"/>
    <n v="2800"/>
    <n v="10"/>
  </r>
  <r>
    <s v="O034"/>
    <d v="2025-02-03T00:00:00"/>
    <x v="1"/>
    <s v="Furniture"/>
    <s v="Sofa"/>
    <n v="39000"/>
    <n v="1"/>
  </r>
  <r>
    <s v="O035"/>
    <d v="2025-02-04T00:00:00"/>
    <x v="2"/>
    <s v="Electronics"/>
    <s v="Tablet"/>
    <n v="21000"/>
    <n v="3"/>
  </r>
  <r>
    <s v="O036"/>
    <d v="2025-02-05T00:00:00"/>
    <x v="3"/>
    <s v="Clothing"/>
    <s v="Jeans"/>
    <n v="4800"/>
    <n v="5"/>
  </r>
  <r>
    <s v="O037"/>
    <d v="2025-02-06T00:00:00"/>
    <x v="0"/>
    <s v="Furniture"/>
    <s v="Table"/>
    <n v="12500"/>
    <n v="2"/>
  </r>
  <r>
    <s v="O038"/>
    <d v="2025-02-07T00:00:00"/>
    <x v="1"/>
    <s v="Electronics"/>
    <s v="Mobile"/>
    <n v="28000"/>
    <n v="5"/>
  </r>
  <r>
    <s v="O039"/>
    <d v="2025-02-08T00:00:00"/>
    <x v="2"/>
    <s v="Clothing"/>
    <s v="Jacket"/>
    <n v="7200"/>
    <n v="3"/>
  </r>
  <r>
    <s v="O040"/>
    <d v="2025-02-09T00:00:00"/>
    <x v="3"/>
    <s v="Furniture"/>
    <s v="Chair"/>
    <n v="8800"/>
    <n v="4"/>
  </r>
  <r>
    <s v="O041"/>
    <d v="2025-02-10T00:00:00"/>
    <x v="0"/>
    <s v="Electronics"/>
    <s v="Laptop"/>
    <n v="49000"/>
    <n v="2"/>
  </r>
  <r>
    <s v="O042"/>
    <d v="2025-02-11T00:00:00"/>
    <x v="1"/>
    <s v="Clothing"/>
    <s v="T-Shirt"/>
    <n v="3100"/>
    <n v="8"/>
  </r>
  <r>
    <s v="O043"/>
    <d v="2025-02-12T00:00:00"/>
    <x v="2"/>
    <s v="Furniture"/>
    <s v="Sofa"/>
    <n v="36000"/>
    <n v="1"/>
  </r>
  <r>
    <s v="O044"/>
    <d v="2025-02-13T00:00:00"/>
    <x v="3"/>
    <s v="Electronics"/>
    <s v="Tablet"/>
    <n v="19500"/>
    <n v="3"/>
  </r>
  <r>
    <s v="O045"/>
    <d v="2025-02-14T00:00:00"/>
    <x v="0"/>
    <s v="Clothing"/>
    <s v="Jeans"/>
    <n v="5200"/>
    <n v="4"/>
  </r>
  <r>
    <s v="O046"/>
    <d v="2025-02-15T00:00:00"/>
    <x v="1"/>
    <s v="Furniture"/>
    <s v="Table"/>
    <n v="14500"/>
    <n v="2"/>
  </r>
  <r>
    <s v="O047"/>
    <d v="2025-02-16T00:00:00"/>
    <x v="2"/>
    <s v="Electronics"/>
    <s v="Mobile"/>
    <n v="25500"/>
    <n v="5"/>
  </r>
  <r>
    <s v="O048"/>
    <d v="2025-02-17T00:00:00"/>
    <x v="3"/>
    <s v="Clothing"/>
    <s v="Jacket"/>
    <n v="6800"/>
    <n v="3"/>
  </r>
  <r>
    <s v="O049"/>
    <d v="2025-02-18T00:00:00"/>
    <x v="0"/>
    <s v="Furniture"/>
    <s v="Chair"/>
    <n v="9200"/>
    <n v="5"/>
  </r>
  <r>
    <s v="O050"/>
    <d v="2025-02-19T00:00:00"/>
    <x v="1"/>
    <s v="Electronics"/>
    <s v="Laptop"/>
    <n v="44000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O001"/>
    <d v="2025-01-01T00:00:00"/>
    <s v="East"/>
    <s v="Electronics"/>
    <x v="0"/>
    <n v="45000"/>
    <n v="2"/>
  </r>
  <r>
    <s v="O002"/>
    <d v="2025-01-02T00:00:00"/>
    <s v="West"/>
    <s v="Furniture"/>
    <x v="1"/>
    <n v="8000"/>
    <n v="4"/>
  </r>
  <r>
    <s v="O003"/>
    <d v="2025-01-03T00:00:00"/>
    <s v="North"/>
    <s v="Electronics"/>
    <x v="2"/>
    <n v="25000"/>
    <n v="5"/>
  </r>
  <r>
    <s v="O004"/>
    <d v="2025-01-04T00:00:00"/>
    <s v="South"/>
    <s v="Clothing"/>
    <x v="3"/>
    <n v="3000"/>
    <n v="10"/>
  </r>
  <r>
    <s v="O005"/>
    <d v="2025-01-05T00:00:00"/>
    <s v="East"/>
    <s v="Furniture"/>
    <x v="4"/>
    <n v="12000"/>
    <n v="2"/>
  </r>
  <r>
    <s v="O006"/>
    <d v="2025-01-06T00:00:00"/>
    <s v="West"/>
    <s v="Electronics"/>
    <x v="5"/>
    <n v="18000"/>
    <n v="3"/>
  </r>
  <r>
    <s v="O007"/>
    <d v="2025-01-07T00:00:00"/>
    <s v="North"/>
    <s v="Furniture"/>
    <x v="6"/>
    <n v="35000"/>
    <n v="1"/>
  </r>
  <r>
    <s v="O008"/>
    <d v="2025-01-08T00:00:00"/>
    <s v="South"/>
    <s v="Clothing"/>
    <x v="7"/>
    <n v="4500"/>
    <n v="6"/>
  </r>
  <r>
    <s v="O009"/>
    <d v="2025-01-09T00:00:00"/>
    <s v="East"/>
    <s v="Electronics"/>
    <x v="2"/>
    <n v="22000"/>
    <n v="4"/>
  </r>
  <r>
    <s v="O010"/>
    <d v="2025-01-10T00:00:00"/>
    <s v="West"/>
    <s v="Furniture"/>
    <x v="4"/>
    <n v="15000"/>
    <n v="2"/>
  </r>
  <r>
    <s v="O011"/>
    <d v="2025-01-11T00:00:00"/>
    <s v="North"/>
    <s v="Clothing"/>
    <x v="8"/>
    <n v="6000"/>
    <n v="3"/>
  </r>
  <r>
    <s v="O012"/>
    <d v="2025-01-12T00:00:00"/>
    <s v="South"/>
    <s v="Electronics"/>
    <x v="0"/>
    <n v="48000"/>
    <n v="2"/>
  </r>
  <r>
    <s v="O013"/>
    <d v="2025-01-13T00:00:00"/>
    <s v="East"/>
    <s v="Furniture"/>
    <x v="1"/>
    <n v="9000"/>
    <n v="5"/>
  </r>
  <r>
    <s v="O014"/>
    <d v="2025-01-14T00:00:00"/>
    <s v="West"/>
    <s v="Clothing"/>
    <x v="3"/>
    <n v="2500"/>
    <n v="8"/>
  </r>
  <r>
    <s v="O015"/>
    <d v="2025-01-15T00:00:00"/>
    <s v="North"/>
    <s v="Electronics"/>
    <x v="5"/>
    <n v="20000"/>
    <n v="3"/>
  </r>
  <r>
    <s v="O016"/>
    <d v="2025-01-16T00:00:00"/>
    <s v="South"/>
    <s v="Furniture"/>
    <x v="6"/>
    <n v="40000"/>
    <n v="1"/>
  </r>
  <r>
    <s v="O017"/>
    <d v="2025-01-17T00:00:00"/>
    <s v="East"/>
    <s v="Clothing"/>
    <x v="7"/>
    <n v="5500"/>
    <n v="4"/>
  </r>
  <r>
    <s v="O018"/>
    <d v="2025-01-18T00:00:00"/>
    <s v="West"/>
    <s v="Electronics"/>
    <x v="2"/>
    <n v="27000"/>
    <n v="5"/>
  </r>
  <r>
    <s v="O019"/>
    <d v="2025-01-19T00:00:00"/>
    <s v="North"/>
    <s v="Furniture"/>
    <x v="4"/>
    <n v="13000"/>
    <n v="2"/>
  </r>
  <r>
    <s v="O020"/>
    <d v="2025-01-20T00:00:00"/>
    <s v="South"/>
    <s v="Clothing"/>
    <x v="8"/>
    <n v="7000"/>
    <n v="3"/>
  </r>
  <r>
    <s v="O021"/>
    <d v="2025-01-21T00:00:00"/>
    <s v="East"/>
    <s v="Electronics"/>
    <x v="0"/>
    <n v="46000"/>
    <n v="2"/>
  </r>
  <r>
    <s v="O022"/>
    <d v="2025-01-22T00:00:00"/>
    <s v="West"/>
    <s v="Furniture"/>
    <x v="1"/>
    <n v="8500"/>
    <n v="4"/>
  </r>
  <r>
    <s v="O023"/>
    <d v="2025-01-23T00:00:00"/>
    <s v="North"/>
    <s v="Electronics"/>
    <x v="2"/>
    <n v="24000"/>
    <n v="5"/>
  </r>
  <r>
    <s v="O024"/>
    <d v="2025-01-24T00:00:00"/>
    <s v="South"/>
    <s v="Clothing"/>
    <x v="3"/>
    <n v="3200"/>
    <n v="9"/>
  </r>
  <r>
    <s v="O025"/>
    <d v="2025-01-25T00:00:00"/>
    <s v="East"/>
    <s v="Furniture"/>
    <x v="6"/>
    <n v="37000"/>
    <n v="1"/>
  </r>
  <r>
    <s v="O026"/>
    <d v="2025-01-26T00:00:00"/>
    <s v="West"/>
    <s v="Electronics"/>
    <x v="5"/>
    <n v="19000"/>
    <n v="3"/>
  </r>
  <r>
    <s v="O027"/>
    <d v="2025-01-27T00:00:00"/>
    <s v="North"/>
    <s v="Clothing"/>
    <x v="7"/>
    <n v="5000"/>
    <n v="4"/>
  </r>
  <r>
    <s v="O028"/>
    <d v="2025-01-28T00:00:00"/>
    <s v="South"/>
    <s v="Furniture"/>
    <x v="4"/>
    <n v="14000"/>
    <n v="2"/>
  </r>
  <r>
    <s v="O029"/>
    <d v="2025-01-29T00:00:00"/>
    <s v="East"/>
    <s v="Electronics"/>
    <x v="2"/>
    <n v="26000"/>
    <n v="4"/>
  </r>
  <r>
    <s v="O030"/>
    <d v="2025-01-30T00:00:00"/>
    <s v="West"/>
    <s v="Clothing"/>
    <x v="8"/>
    <n v="6500"/>
    <n v="3"/>
  </r>
  <r>
    <s v="O031"/>
    <d v="2025-01-31T00:00:00"/>
    <s v="North"/>
    <s v="Furniture"/>
    <x v="1"/>
    <n v="9500"/>
    <n v="5"/>
  </r>
  <r>
    <s v="O032"/>
    <d v="2025-02-01T00:00:00"/>
    <s v="South"/>
    <s v="Electronics"/>
    <x v="0"/>
    <n v="47000"/>
    <n v="2"/>
  </r>
  <r>
    <s v="O033"/>
    <d v="2025-02-02T00:00:00"/>
    <s v="East"/>
    <s v="Clothing"/>
    <x v="3"/>
    <n v="2800"/>
    <n v="10"/>
  </r>
  <r>
    <s v="O034"/>
    <d v="2025-02-03T00:00:00"/>
    <s v="West"/>
    <s v="Furniture"/>
    <x v="6"/>
    <n v="39000"/>
    <n v="1"/>
  </r>
  <r>
    <s v="O035"/>
    <d v="2025-02-04T00:00:00"/>
    <s v="North"/>
    <s v="Electronics"/>
    <x v="5"/>
    <n v="21000"/>
    <n v="3"/>
  </r>
  <r>
    <s v="O036"/>
    <d v="2025-02-05T00:00:00"/>
    <s v="South"/>
    <s v="Clothing"/>
    <x v="7"/>
    <n v="4800"/>
    <n v="5"/>
  </r>
  <r>
    <s v="O037"/>
    <d v="2025-02-06T00:00:00"/>
    <s v="East"/>
    <s v="Furniture"/>
    <x v="4"/>
    <n v="12500"/>
    <n v="2"/>
  </r>
  <r>
    <s v="O038"/>
    <d v="2025-02-07T00:00:00"/>
    <s v="West"/>
    <s v="Electronics"/>
    <x v="2"/>
    <n v="28000"/>
    <n v="5"/>
  </r>
  <r>
    <s v="O039"/>
    <d v="2025-02-08T00:00:00"/>
    <s v="North"/>
    <s v="Clothing"/>
    <x v="8"/>
    <n v="7200"/>
    <n v="3"/>
  </r>
  <r>
    <s v="O040"/>
    <d v="2025-02-09T00:00:00"/>
    <s v="South"/>
    <s v="Furniture"/>
    <x v="1"/>
    <n v="8800"/>
    <n v="4"/>
  </r>
  <r>
    <s v="O041"/>
    <d v="2025-02-10T00:00:00"/>
    <s v="East"/>
    <s v="Electronics"/>
    <x v="0"/>
    <n v="49000"/>
    <n v="2"/>
  </r>
  <r>
    <s v="O042"/>
    <d v="2025-02-11T00:00:00"/>
    <s v="West"/>
    <s v="Clothing"/>
    <x v="3"/>
    <n v="3100"/>
    <n v="8"/>
  </r>
  <r>
    <s v="O043"/>
    <d v="2025-02-12T00:00:00"/>
    <s v="North"/>
    <s v="Furniture"/>
    <x v="6"/>
    <n v="36000"/>
    <n v="1"/>
  </r>
  <r>
    <s v="O044"/>
    <d v="2025-02-13T00:00:00"/>
    <s v="South"/>
    <s v="Electronics"/>
    <x v="5"/>
    <n v="19500"/>
    <n v="3"/>
  </r>
  <r>
    <s v="O045"/>
    <d v="2025-02-14T00:00:00"/>
    <s v="East"/>
    <s v="Clothing"/>
    <x v="7"/>
    <n v="5200"/>
    <n v="4"/>
  </r>
  <r>
    <s v="O046"/>
    <d v="2025-02-15T00:00:00"/>
    <s v="West"/>
    <s v="Furniture"/>
    <x v="4"/>
    <n v="14500"/>
    <n v="2"/>
  </r>
  <r>
    <s v="O047"/>
    <d v="2025-02-16T00:00:00"/>
    <s v="North"/>
    <s v="Electronics"/>
    <x v="2"/>
    <n v="25500"/>
    <n v="5"/>
  </r>
  <r>
    <s v="O048"/>
    <d v="2025-02-17T00:00:00"/>
    <s v="South"/>
    <s v="Clothing"/>
    <x v="8"/>
    <n v="6800"/>
    <n v="3"/>
  </r>
  <r>
    <s v="O049"/>
    <d v="2025-02-18T00:00:00"/>
    <s v="East"/>
    <s v="Furniture"/>
    <x v="1"/>
    <n v="9200"/>
    <n v="5"/>
  </r>
  <r>
    <s v="O050"/>
    <d v="2025-02-19T00:00:00"/>
    <s v="West"/>
    <s v="Electronics"/>
    <x v="0"/>
    <n v="4400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373543-274B-45C1-9E69-E4A59902D7FE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22" firstHeaderRow="1" firstDataRow="1" firstDataCol="1"/>
  <pivotFields count="7">
    <pivotField showAll="0"/>
    <pivotField numFmtId="15" showAll="0"/>
    <pivotField showAll="0"/>
    <pivotField showAll="0"/>
    <pivotField axis="axisRow" dataField="1" showAll="0">
      <items count="10">
        <item x="1"/>
        <item x="8"/>
        <item x="7"/>
        <item x="0"/>
        <item x="2"/>
        <item x="6"/>
        <item x="4"/>
        <item x="5"/>
        <item x="3"/>
        <item t="default"/>
      </items>
    </pivotField>
    <pivotField showAll="0"/>
    <pivotField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Produc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B8599-12EC-4978-A627-80619A942924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7">
    <pivotField showAll="0"/>
    <pivotField numFmtId="15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CB3DA6-41DB-410F-BA2A-49D2A0B1B93F}" name="Table2" displayName="Table2" ref="A1:G52" totalsRowCount="1">
  <autoFilter ref="A1:G51" xr:uid="{53CB3DA6-41DB-410F-BA2A-49D2A0B1B93F}"/>
  <tableColumns count="7">
    <tableColumn id="1" xr3:uid="{89EDA29C-15B8-4114-BACE-6D96907EADEA}" name="Order ID"/>
    <tableColumn id="2" xr3:uid="{58779A36-54F9-4071-8881-2C011D3E4BB8}" name="Date" dataDxfId="3" totalsRowDxfId="2"/>
    <tableColumn id="3" xr3:uid="{B1F0154D-3478-486A-BB64-004C09A157A3}" name="Region"/>
    <tableColumn id="4" xr3:uid="{8881508C-BAA6-4439-B32C-C99CD6519858}" name="Category" totalsRowFunction="custom" totalsRowDxfId="1">
      <totalsRowFormula>COUNTIF(D2:D51,"electronics")</totalsRowFormula>
    </tableColumn>
    <tableColumn id="5" xr3:uid="{5956EC0E-A8C2-4E82-AB00-42D9E770CB75}" name="Product" totalsRowFunction="custom">
      <totalsRowFormula>COUNTIF(E2:E51,"Mobile")</totalsRowFormula>
    </tableColumn>
    <tableColumn id="6" xr3:uid="{713DB956-EE32-4BE5-B61F-0639598641CA}" name="Sales" totalsRowFunction="custom" totalsRowDxfId="0">
      <totalsRowFormula>SUM(F2:F51)</totalsRowFormula>
    </tableColumn>
    <tableColumn id="7" xr3:uid="{0FFE0356-4A72-4B96-8DE1-3DC4174C89F9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4405-5BC2-4D3F-8DDA-D5E69D5BBA3A}">
  <dimension ref="A1:O57"/>
  <sheetViews>
    <sheetView tabSelected="1" topLeftCell="H1" zoomScale="73" workbookViewId="0">
      <selection activeCell="Q11" sqref="Q11"/>
    </sheetView>
  </sheetViews>
  <sheetFormatPr defaultRowHeight="14.4" x14ac:dyDescent="0.3"/>
  <cols>
    <col min="1" max="1" width="8.109375" customWidth="1"/>
    <col min="2" max="2" width="13.33203125" customWidth="1"/>
    <col min="3" max="3" width="10.33203125" customWidth="1"/>
    <col min="4" max="4" width="19" customWidth="1"/>
    <col min="5" max="5" width="10.77734375" customWidth="1"/>
    <col min="6" max="6" width="14.5546875" customWidth="1"/>
    <col min="7" max="7" width="10.109375" customWidth="1"/>
    <col min="9" max="9" width="10.5546875" bestFit="1" customWidth="1"/>
    <col min="11" max="11" width="13.88671875" customWidth="1"/>
    <col min="12" max="12" width="15" customWidth="1"/>
    <col min="13" max="13" width="11.77734375" customWidth="1"/>
    <col min="14" max="14" width="11.6640625" customWidth="1"/>
    <col min="15" max="15" width="13" customWidth="1"/>
  </cols>
  <sheetData>
    <row r="1" spans="1:15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5" ht="15" thickBot="1" x14ac:dyDescent="0.35">
      <c r="A2" t="s">
        <v>7</v>
      </c>
      <c r="B2" s="1">
        <v>45658</v>
      </c>
      <c r="C2" t="s">
        <v>8</v>
      </c>
      <c r="D2" t="s">
        <v>9</v>
      </c>
      <c r="E2" t="s">
        <v>10</v>
      </c>
      <c r="F2">
        <v>45000</v>
      </c>
      <c r="G2">
        <v>2</v>
      </c>
      <c r="I2" s="52"/>
      <c r="J2" s="53"/>
      <c r="K2" s="54"/>
      <c r="M2" s="52"/>
      <c r="N2" s="53"/>
      <c r="O2" s="54"/>
    </row>
    <row r="3" spans="1:15" ht="21" x14ac:dyDescent="0.4">
      <c r="A3" t="s">
        <v>11</v>
      </c>
      <c r="B3" s="1">
        <v>45659</v>
      </c>
      <c r="C3" t="s">
        <v>12</v>
      </c>
      <c r="D3" t="s">
        <v>13</v>
      </c>
      <c r="E3" t="s">
        <v>14</v>
      </c>
      <c r="F3">
        <v>8000</v>
      </c>
      <c r="G3">
        <v>4</v>
      </c>
      <c r="I3" s="16" t="s">
        <v>77</v>
      </c>
      <c r="J3" s="17"/>
      <c r="K3" s="18"/>
      <c r="M3" s="16" t="s">
        <v>86</v>
      </c>
      <c r="N3" s="17"/>
      <c r="O3" s="18"/>
    </row>
    <row r="4" spans="1:15" ht="21.6" thickBot="1" x14ac:dyDescent="0.45">
      <c r="A4" t="s">
        <v>15</v>
      </c>
      <c r="B4" s="1">
        <v>45660</v>
      </c>
      <c r="C4" t="s">
        <v>16</v>
      </c>
      <c r="D4" t="s">
        <v>9</v>
      </c>
      <c r="E4" t="s">
        <v>17</v>
      </c>
      <c r="F4">
        <v>25000</v>
      </c>
      <c r="G4">
        <v>5</v>
      </c>
      <c r="I4" s="43">
        <f>SUMIF(C2:C51,"North",F2:F51)</f>
        <v>227200</v>
      </c>
      <c r="J4" s="44"/>
      <c r="K4" s="45"/>
      <c r="M4" s="19">
        <f>COUNTIF(C2:C51,"north")</f>
        <v>12</v>
      </c>
      <c r="N4" s="20"/>
      <c r="O4" s="21"/>
    </row>
    <row r="5" spans="1:15" ht="15" thickBot="1" x14ac:dyDescent="0.35">
      <c r="A5" t="s">
        <v>18</v>
      </c>
      <c r="B5" s="1">
        <v>45661</v>
      </c>
      <c r="C5" t="s">
        <v>19</v>
      </c>
      <c r="D5" t="s">
        <v>20</v>
      </c>
      <c r="E5" t="s">
        <v>21</v>
      </c>
      <c r="F5">
        <v>3000</v>
      </c>
      <c r="G5">
        <v>10</v>
      </c>
      <c r="I5" s="55"/>
      <c r="J5" s="56"/>
      <c r="K5" s="57"/>
      <c r="M5" s="55"/>
      <c r="N5" s="56"/>
      <c r="O5" s="57"/>
    </row>
    <row r="6" spans="1:15" ht="21" x14ac:dyDescent="0.4">
      <c r="A6" t="s">
        <v>22</v>
      </c>
      <c r="B6" s="1">
        <v>45662</v>
      </c>
      <c r="C6" t="s">
        <v>8</v>
      </c>
      <c r="D6" t="s">
        <v>13</v>
      </c>
      <c r="E6" t="s">
        <v>23</v>
      </c>
      <c r="F6">
        <v>12000</v>
      </c>
      <c r="G6">
        <v>2</v>
      </c>
      <c r="I6" s="22" t="s">
        <v>83</v>
      </c>
      <c r="J6" s="23"/>
      <c r="K6" s="24"/>
      <c r="M6" s="22" t="s">
        <v>87</v>
      </c>
      <c r="N6" s="23"/>
      <c r="O6" s="24"/>
    </row>
    <row r="7" spans="1:15" ht="21.6" thickBot="1" x14ac:dyDescent="0.45">
      <c r="A7" t="s">
        <v>24</v>
      </c>
      <c r="B7" s="1">
        <v>45663</v>
      </c>
      <c r="C7" t="s">
        <v>12</v>
      </c>
      <c r="D7" t="s">
        <v>9</v>
      </c>
      <c r="E7" t="s">
        <v>59</v>
      </c>
      <c r="F7">
        <v>18000</v>
      </c>
      <c r="G7">
        <v>3</v>
      </c>
      <c r="I7" s="40">
        <f>SUMIF(C2:C51,"South",F2:F51)</f>
        <v>206600</v>
      </c>
      <c r="J7" s="41"/>
      <c r="K7" s="42"/>
      <c r="M7" s="25">
        <f>COUNTIF(C2:C51,"south")</f>
        <v>12</v>
      </c>
      <c r="N7" s="26"/>
      <c r="O7" s="27"/>
    </row>
    <row r="8" spans="1:15" ht="15" thickBot="1" x14ac:dyDescent="0.35">
      <c r="A8" t="s">
        <v>25</v>
      </c>
      <c r="B8" s="1">
        <v>45664</v>
      </c>
      <c r="C8" t="s">
        <v>16</v>
      </c>
      <c r="D8" t="s">
        <v>13</v>
      </c>
      <c r="E8" t="s">
        <v>60</v>
      </c>
      <c r="F8">
        <v>35000</v>
      </c>
      <c r="G8">
        <v>1</v>
      </c>
      <c r="I8" s="55"/>
      <c r="J8" s="56"/>
      <c r="K8" s="57"/>
      <c r="M8" s="55"/>
      <c r="N8" s="56"/>
      <c r="O8" s="57"/>
    </row>
    <row r="9" spans="1:15" ht="21" x14ac:dyDescent="0.4">
      <c r="A9" t="s">
        <v>26</v>
      </c>
      <c r="B9" s="1">
        <v>45665</v>
      </c>
      <c r="C9" t="s">
        <v>19</v>
      </c>
      <c r="D9" t="s">
        <v>20</v>
      </c>
      <c r="E9" t="s">
        <v>61</v>
      </c>
      <c r="F9">
        <v>4500</v>
      </c>
      <c r="G9">
        <v>6</v>
      </c>
      <c r="I9" s="34" t="s">
        <v>84</v>
      </c>
      <c r="J9" s="35"/>
      <c r="K9" s="36"/>
      <c r="M9" s="34" t="s">
        <v>88</v>
      </c>
      <c r="N9" s="35"/>
      <c r="O9" s="36"/>
    </row>
    <row r="10" spans="1:15" ht="21.6" thickBot="1" x14ac:dyDescent="0.45">
      <c r="A10" t="s">
        <v>27</v>
      </c>
      <c r="B10" s="1">
        <v>45666</v>
      </c>
      <c r="C10" t="s">
        <v>8</v>
      </c>
      <c r="D10" t="s">
        <v>9</v>
      </c>
      <c r="E10" t="s">
        <v>17</v>
      </c>
      <c r="F10">
        <v>22000</v>
      </c>
      <c r="G10">
        <v>4</v>
      </c>
      <c r="I10" s="46">
        <f>SUMIF(C2:C51,"East",F2:F51)</f>
        <v>281200</v>
      </c>
      <c r="J10" s="47"/>
      <c r="K10" s="48"/>
      <c r="M10" s="37">
        <f>COUNTIF(C2:C51,"east")</f>
        <v>13</v>
      </c>
      <c r="N10" s="38"/>
      <c r="O10" s="39"/>
    </row>
    <row r="11" spans="1:15" ht="15" thickBot="1" x14ac:dyDescent="0.35">
      <c r="A11" t="s">
        <v>28</v>
      </c>
      <c r="B11" s="1">
        <v>45667</v>
      </c>
      <c r="C11" t="s">
        <v>12</v>
      </c>
      <c r="D11" t="s">
        <v>13</v>
      </c>
      <c r="E11" t="s">
        <v>23</v>
      </c>
      <c r="F11">
        <v>15000</v>
      </c>
      <c r="G11">
        <v>2</v>
      </c>
      <c r="I11" s="55"/>
      <c r="J11" s="56"/>
      <c r="K11" s="57"/>
      <c r="M11" s="55"/>
      <c r="N11" s="56"/>
      <c r="O11" s="57"/>
    </row>
    <row r="12" spans="1:15" ht="21" x14ac:dyDescent="0.4">
      <c r="A12" t="s">
        <v>29</v>
      </c>
      <c r="B12" s="1">
        <v>45668</v>
      </c>
      <c r="C12" t="s">
        <v>16</v>
      </c>
      <c r="D12" t="s">
        <v>20</v>
      </c>
      <c r="E12" t="s">
        <v>62</v>
      </c>
      <c r="F12">
        <v>6000</v>
      </c>
      <c r="G12">
        <v>3</v>
      </c>
      <c r="I12" s="28" t="s">
        <v>85</v>
      </c>
      <c r="J12" s="29"/>
      <c r="K12" s="30"/>
      <c r="M12" s="28" t="s">
        <v>89</v>
      </c>
      <c r="N12" s="29"/>
      <c r="O12" s="30"/>
    </row>
    <row r="13" spans="1:15" ht="21.6" thickBot="1" x14ac:dyDescent="0.45">
      <c r="A13" t="s">
        <v>30</v>
      </c>
      <c r="B13" s="1">
        <v>45669</v>
      </c>
      <c r="C13" t="s">
        <v>19</v>
      </c>
      <c r="D13" t="s">
        <v>9</v>
      </c>
      <c r="E13" t="s">
        <v>10</v>
      </c>
      <c r="F13">
        <v>48000</v>
      </c>
      <c r="G13">
        <v>2</v>
      </c>
      <c r="I13" s="49">
        <f>SUMIF(C2:C51,"West",F2:F51)</f>
        <v>233100</v>
      </c>
      <c r="J13" s="50"/>
      <c r="K13" s="51"/>
      <c r="M13" s="31">
        <f>COUNTIF(C2:C51,"west")</f>
        <v>13</v>
      </c>
      <c r="N13" s="32"/>
      <c r="O13" s="33"/>
    </row>
    <row r="14" spans="1:15" ht="15" thickBot="1" x14ac:dyDescent="0.35">
      <c r="A14" t="s">
        <v>31</v>
      </c>
      <c r="B14" s="1">
        <v>45670</v>
      </c>
      <c r="C14" t="s">
        <v>8</v>
      </c>
      <c r="D14" t="s">
        <v>13</v>
      </c>
      <c r="E14" t="s">
        <v>14</v>
      </c>
      <c r="F14">
        <v>9000</v>
      </c>
      <c r="G14">
        <v>5</v>
      </c>
      <c r="I14" s="13"/>
      <c r="J14" s="14"/>
      <c r="K14" s="15"/>
      <c r="M14" s="13"/>
      <c r="N14" s="14"/>
      <c r="O14" s="15"/>
    </row>
    <row r="15" spans="1:15" ht="15" thickBot="1" x14ac:dyDescent="0.35">
      <c r="A15" t="s">
        <v>32</v>
      </c>
      <c r="B15" s="1">
        <v>45671</v>
      </c>
      <c r="C15" t="s">
        <v>12</v>
      </c>
      <c r="D15" t="s">
        <v>20</v>
      </c>
      <c r="E15" t="s">
        <v>21</v>
      </c>
      <c r="F15">
        <v>2500</v>
      </c>
      <c r="G15">
        <v>8</v>
      </c>
    </row>
    <row r="16" spans="1:15" ht="15" thickBot="1" x14ac:dyDescent="0.35">
      <c r="A16" t="s">
        <v>33</v>
      </c>
      <c r="B16" s="1">
        <v>45672</v>
      </c>
      <c r="C16" t="s">
        <v>16</v>
      </c>
      <c r="D16" t="s">
        <v>9</v>
      </c>
      <c r="E16" t="s">
        <v>59</v>
      </c>
      <c r="F16">
        <v>20000</v>
      </c>
      <c r="G16">
        <v>3</v>
      </c>
      <c r="I16" s="52"/>
      <c r="J16" s="53"/>
      <c r="K16" s="54"/>
      <c r="M16" s="52"/>
      <c r="N16" s="53"/>
      <c r="O16" s="54"/>
    </row>
    <row r="17" spans="1:15" ht="21" x14ac:dyDescent="0.4">
      <c r="A17" t="s">
        <v>34</v>
      </c>
      <c r="B17" s="1">
        <v>45673</v>
      </c>
      <c r="C17" t="s">
        <v>19</v>
      </c>
      <c r="D17" t="s">
        <v>13</v>
      </c>
      <c r="E17" t="s">
        <v>60</v>
      </c>
      <c r="F17">
        <v>40000</v>
      </c>
      <c r="G17">
        <v>1</v>
      </c>
      <c r="I17" s="58" t="s">
        <v>90</v>
      </c>
      <c r="J17" s="59"/>
      <c r="K17" s="60"/>
      <c r="M17" s="67" t="s">
        <v>93</v>
      </c>
      <c r="N17" s="68"/>
      <c r="O17" s="69"/>
    </row>
    <row r="18" spans="1:15" ht="21.6" thickBot="1" x14ac:dyDescent="0.45">
      <c r="A18" t="s">
        <v>35</v>
      </c>
      <c r="B18" s="1">
        <v>45674</v>
      </c>
      <c r="C18" t="s">
        <v>8</v>
      </c>
      <c r="D18" t="s">
        <v>20</v>
      </c>
      <c r="E18" t="s">
        <v>61</v>
      </c>
      <c r="F18">
        <v>5500</v>
      </c>
      <c r="G18">
        <v>4</v>
      </c>
      <c r="I18" s="61">
        <f>SUMIF(D2:D51,"electronics",F2:F51)</f>
        <v>554000</v>
      </c>
      <c r="J18" s="62"/>
      <c r="K18" s="63"/>
      <c r="M18" s="73">
        <f>SUMIFS(F2:F51,C2:C51,"north",D2:D51,"electronics")</f>
        <v>115500</v>
      </c>
      <c r="N18" s="74"/>
      <c r="O18" s="75"/>
    </row>
    <row r="19" spans="1:15" ht="15" thickBot="1" x14ac:dyDescent="0.35">
      <c r="A19" t="s">
        <v>36</v>
      </c>
      <c r="B19" s="1">
        <v>45675</v>
      </c>
      <c r="C19" t="s">
        <v>12</v>
      </c>
      <c r="D19" t="s">
        <v>9</v>
      </c>
      <c r="E19" t="s">
        <v>17</v>
      </c>
      <c r="F19">
        <v>27000</v>
      </c>
      <c r="G19">
        <v>5</v>
      </c>
      <c r="I19" s="55"/>
      <c r="J19" s="56"/>
      <c r="K19" s="57"/>
      <c r="M19" s="55"/>
      <c r="N19" s="56"/>
      <c r="O19" s="57"/>
    </row>
    <row r="20" spans="1:15" ht="21" x14ac:dyDescent="0.4">
      <c r="A20" t="s">
        <v>37</v>
      </c>
      <c r="B20" s="1">
        <v>45676</v>
      </c>
      <c r="C20" t="s">
        <v>16</v>
      </c>
      <c r="D20" t="s">
        <v>13</v>
      </c>
      <c r="E20" t="s">
        <v>23</v>
      </c>
      <c r="F20">
        <v>13000</v>
      </c>
      <c r="G20">
        <v>2</v>
      </c>
      <c r="I20" s="64" t="s">
        <v>91</v>
      </c>
      <c r="J20" s="65"/>
      <c r="K20" s="66"/>
      <c r="M20" s="67" t="s">
        <v>94</v>
      </c>
      <c r="N20" s="76"/>
      <c r="O20" s="77"/>
    </row>
    <row r="21" spans="1:15" ht="21.6" thickBot="1" x14ac:dyDescent="0.45">
      <c r="A21" t="s">
        <v>38</v>
      </c>
      <c r="B21" s="1">
        <v>45677</v>
      </c>
      <c r="C21" t="s">
        <v>19</v>
      </c>
      <c r="D21" t="s">
        <v>20</v>
      </c>
      <c r="E21" t="s">
        <v>62</v>
      </c>
      <c r="F21">
        <v>7000</v>
      </c>
      <c r="G21">
        <v>3</v>
      </c>
      <c r="I21" s="61">
        <f>SUMIF(D2:D51,"clothing",F2:F51)</f>
        <v>73100</v>
      </c>
      <c r="J21" s="62"/>
      <c r="K21" s="63"/>
      <c r="M21" s="70">
        <f>SUMIFS(F2:F51,C2:C51,"north",D2:D51,"clothing")</f>
        <v>18200</v>
      </c>
      <c r="N21" s="71"/>
      <c r="O21" s="72"/>
    </row>
    <row r="22" spans="1:15" ht="15" thickBot="1" x14ac:dyDescent="0.35">
      <c r="A22" t="s">
        <v>39</v>
      </c>
      <c r="B22" s="1">
        <v>45678</v>
      </c>
      <c r="C22" t="s">
        <v>8</v>
      </c>
      <c r="D22" t="s">
        <v>9</v>
      </c>
      <c r="E22" t="s">
        <v>10</v>
      </c>
      <c r="F22">
        <v>46000</v>
      </c>
      <c r="G22">
        <v>2</v>
      </c>
      <c r="I22" s="55"/>
      <c r="J22" s="56"/>
      <c r="K22" s="57"/>
      <c r="M22" s="55"/>
      <c r="N22" s="56"/>
      <c r="O22" s="57"/>
    </row>
    <row r="23" spans="1:15" ht="21" x14ac:dyDescent="0.4">
      <c r="A23" t="s">
        <v>40</v>
      </c>
      <c r="B23" s="1">
        <v>45679</v>
      </c>
      <c r="C23" t="s">
        <v>12</v>
      </c>
      <c r="D23" t="s">
        <v>13</v>
      </c>
      <c r="E23" t="s">
        <v>14</v>
      </c>
      <c r="F23">
        <v>8500</v>
      </c>
      <c r="G23">
        <v>4</v>
      </c>
      <c r="I23" s="64" t="s">
        <v>92</v>
      </c>
      <c r="J23" s="65"/>
      <c r="K23" s="66"/>
      <c r="M23" s="67" t="s">
        <v>95</v>
      </c>
      <c r="N23" s="76"/>
      <c r="O23" s="77"/>
    </row>
    <row r="24" spans="1:15" ht="21.6" thickBot="1" x14ac:dyDescent="0.45">
      <c r="A24" t="s">
        <v>41</v>
      </c>
      <c r="B24" s="1">
        <v>45680</v>
      </c>
      <c r="C24" t="s">
        <v>16</v>
      </c>
      <c r="D24" t="s">
        <v>9</v>
      </c>
      <c r="E24" t="s">
        <v>17</v>
      </c>
      <c r="F24">
        <v>24000</v>
      </c>
      <c r="G24">
        <v>5</v>
      </c>
      <c r="I24" s="61">
        <f>SUMIF(D2:D51,"furniture",F2:F51)</f>
        <v>321000</v>
      </c>
      <c r="J24" s="62"/>
      <c r="K24" s="63"/>
      <c r="M24" s="70">
        <f>SUMIFS(F2:F51,C2:C51,"north",D2:D51,"furniture")</f>
        <v>93500</v>
      </c>
      <c r="N24" s="71"/>
      <c r="O24" s="72"/>
    </row>
    <row r="25" spans="1:15" ht="15" thickBot="1" x14ac:dyDescent="0.35">
      <c r="A25" t="s">
        <v>42</v>
      </c>
      <c r="B25" s="1">
        <v>45681</v>
      </c>
      <c r="C25" t="s">
        <v>19</v>
      </c>
      <c r="D25" t="s">
        <v>20</v>
      </c>
      <c r="E25" t="s">
        <v>21</v>
      </c>
      <c r="F25">
        <v>3200</v>
      </c>
      <c r="G25">
        <v>9</v>
      </c>
      <c r="I25" s="13"/>
      <c r="J25" s="14"/>
      <c r="K25" s="15"/>
      <c r="M25" s="13"/>
      <c r="N25" s="14"/>
      <c r="O25" s="15"/>
    </row>
    <row r="26" spans="1:15" x14ac:dyDescent="0.3">
      <c r="A26" t="s">
        <v>43</v>
      </c>
      <c r="B26" s="1">
        <v>45682</v>
      </c>
      <c r="C26" t="s">
        <v>8</v>
      </c>
      <c r="D26" t="s">
        <v>13</v>
      </c>
      <c r="E26" t="s">
        <v>60</v>
      </c>
      <c r="F26">
        <v>37000</v>
      </c>
      <c r="G26">
        <v>1</v>
      </c>
    </row>
    <row r="27" spans="1:15" x14ac:dyDescent="0.3">
      <c r="A27" t="s">
        <v>44</v>
      </c>
      <c r="B27" s="1">
        <v>45683</v>
      </c>
      <c r="C27" t="s">
        <v>12</v>
      </c>
      <c r="D27" t="s">
        <v>9</v>
      </c>
      <c r="E27" t="s">
        <v>59</v>
      </c>
      <c r="F27">
        <v>19000</v>
      </c>
      <c r="G27">
        <v>3</v>
      </c>
    </row>
    <row r="28" spans="1:15" x14ac:dyDescent="0.3">
      <c r="A28" t="s">
        <v>45</v>
      </c>
      <c r="B28" s="1">
        <v>45684</v>
      </c>
      <c r="C28" t="s">
        <v>16</v>
      </c>
      <c r="D28" t="s">
        <v>20</v>
      </c>
      <c r="E28" t="s">
        <v>61</v>
      </c>
      <c r="F28">
        <v>5000</v>
      </c>
      <c r="G28">
        <v>4</v>
      </c>
    </row>
    <row r="29" spans="1:15" x14ac:dyDescent="0.3">
      <c r="A29" t="s">
        <v>46</v>
      </c>
      <c r="B29" s="1">
        <v>45685</v>
      </c>
      <c r="C29" t="s">
        <v>19</v>
      </c>
      <c r="D29" t="s">
        <v>13</v>
      </c>
      <c r="E29" t="s">
        <v>23</v>
      </c>
      <c r="F29">
        <v>14000</v>
      </c>
      <c r="G29">
        <v>2</v>
      </c>
    </row>
    <row r="30" spans="1:15" x14ac:dyDescent="0.3">
      <c r="A30" t="s">
        <v>47</v>
      </c>
      <c r="B30" s="1">
        <v>45686</v>
      </c>
      <c r="C30" t="s">
        <v>8</v>
      </c>
      <c r="D30" t="s">
        <v>9</v>
      </c>
      <c r="E30" t="s">
        <v>17</v>
      </c>
      <c r="F30">
        <v>26000</v>
      </c>
      <c r="G30">
        <v>4</v>
      </c>
    </row>
    <row r="31" spans="1:15" x14ac:dyDescent="0.3">
      <c r="A31" t="s">
        <v>48</v>
      </c>
      <c r="B31" s="1">
        <v>45687</v>
      </c>
      <c r="C31" t="s">
        <v>12</v>
      </c>
      <c r="D31" t="s">
        <v>20</v>
      </c>
      <c r="E31" t="s">
        <v>62</v>
      </c>
      <c r="F31">
        <v>6500</v>
      </c>
      <c r="G31">
        <v>3</v>
      </c>
    </row>
    <row r="32" spans="1:15" x14ac:dyDescent="0.3">
      <c r="A32" t="s">
        <v>49</v>
      </c>
      <c r="B32" s="1">
        <v>45688</v>
      </c>
      <c r="C32" t="s">
        <v>16</v>
      </c>
      <c r="D32" t="s">
        <v>13</v>
      </c>
      <c r="E32" t="s">
        <v>14</v>
      </c>
      <c r="F32">
        <v>9500</v>
      </c>
      <c r="G32">
        <v>5</v>
      </c>
    </row>
    <row r="33" spans="1:7" x14ac:dyDescent="0.3">
      <c r="A33" t="s">
        <v>50</v>
      </c>
      <c r="B33" s="1">
        <v>45689</v>
      </c>
      <c r="C33" t="s">
        <v>19</v>
      </c>
      <c r="D33" t="s">
        <v>9</v>
      </c>
      <c r="E33" t="s">
        <v>10</v>
      </c>
      <c r="F33">
        <v>47000</v>
      </c>
      <c r="G33">
        <v>2</v>
      </c>
    </row>
    <row r="34" spans="1:7" x14ac:dyDescent="0.3">
      <c r="A34" t="s">
        <v>51</v>
      </c>
      <c r="B34" s="1">
        <v>45690</v>
      </c>
      <c r="C34" t="s">
        <v>8</v>
      </c>
      <c r="D34" t="s">
        <v>20</v>
      </c>
      <c r="E34" t="s">
        <v>21</v>
      </c>
      <c r="F34">
        <v>2800</v>
      </c>
      <c r="G34">
        <v>10</v>
      </c>
    </row>
    <row r="35" spans="1:7" x14ac:dyDescent="0.3">
      <c r="A35" t="s">
        <v>52</v>
      </c>
      <c r="B35" s="1">
        <v>45691</v>
      </c>
      <c r="C35" t="s">
        <v>12</v>
      </c>
      <c r="D35" t="s">
        <v>13</v>
      </c>
      <c r="E35" t="s">
        <v>60</v>
      </c>
      <c r="F35">
        <v>39000</v>
      </c>
      <c r="G35">
        <v>1</v>
      </c>
    </row>
    <row r="36" spans="1:7" x14ac:dyDescent="0.3">
      <c r="A36" t="s">
        <v>53</v>
      </c>
      <c r="B36" s="1">
        <v>45692</v>
      </c>
      <c r="C36" t="s">
        <v>16</v>
      </c>
      <c r="D36" t="s">
        <v>9</v>
      </c>
      <c r="E36" t="s">
        <v>59</v>
      </c>
      <c r="F36">
        <v>21000</v>
      </c>
      <c r="G36">
        <v>3</v>
      </c>
    </row>
    <row r="37" spans="1:7" x14ac:dyDescent="0.3">
      <c r="A37" t="s">
        <v>54</v>
      </c>
      <c r="B37" s="1">
        <v>45693</v>
      </c>
      <c r="C37" t="s">
        <v>19</v>
      </c>
      <c r="D37" t="s">
        <v>20</v>
      </c>
      <c r="E37" t="s">
        <v>61</v>
      </c>
      <c r="F37">
        <v>4800</v>
      </c>
      <c r="G37">
        <v>5</v>
      </c>
    </row>
    <row r="38" spans="1:7" x14ac:dyDescent="0.3">
      <c r="A38" t="s">
        <v>55</v>
      </c>
      <c r="B38" s="1">
        <v>45694</v>
      </c>
      <c r="C38" t="s">
        <v>8</v>
      </c>
      <c r="D38" t="s">
        <v>13</v>
      </c>
      <c r="E38" t="s">
        <v>23</v>
      </c>
      <c r="F38">
        <v>12500</v>
      </c>
      <c r="G38">
        <v>2</v>
      </c>
    </row>
    <row r="39" spans="1:7" x14ac:dyDescent="0.3">
      <c r="A39" t="s">
        <v>56</v>
      </c>
      <c r="B39" s="1">
        <v>45695</v>
      </c>
      <c r="C39" t="s">
        <v>12</v>
      </c>
      <c r="D39" t="s">
        <v>9</v>
      </c>
      <c r="E39" t="s">
        <v>17</v>
      </c>
      <c r="F39">
        <v>28000</v>
      </c>
      <c r="G39">
        <v>5</v>
      </c>
    </row>
    <row r="40" spans="1:7" x14ac:dyDescent="0.3">
      <c r="A40" t="s">
        <v>57</v>
      </c>
      <c r="B40" s="1">
        <v>45696</v>
      </c>
      <c r="C40" t="s">
        <v>16</v>
      </c>
      <c r="D40" t="s">
        <v>20</v>
      </c>
      <c r="E40" t="s">
        <v>62</v>
      </c>
      <c r="F40">
        <v>7200</v>
      </c>
      <c r="G40">
        <v>3</v>
      </c>
    </row>
    <row r="41" spans="1:7" x14ac:dyDescent="0.3">
      <c r="A41" t="s">
        <v>58</v>
      </c>
      <c r="B41" s="1">
        <v>45697</v>
      </c>
      <c r="C41" t="s">
        <v>19</v>
      </c>
      <c r="D41" t="s">
        <v>13</v>
      </c>
      <c r="E41" t="s">
        <v>14</v>
      </c>
      <c r="F41">
        <v>8800</v>
      </c>
      <c r="G41">
        <v>4</v>
      </c>
    </row>
    <row r="42" spans="1:7" x14ac:dyDescent="0.3">
      <c r="A42" t="s">
        <v>63</v>
      </c>
      <c r="B42" s="1">
        <v>45698</v>
      </c>
      <c r="C42" t="s">
        <v>8</v>
      </c>
      <c r="D42" t="s">
        <v>9</v>
      </c>
      <c r="E42" t="s">
        <v>10</v>
      </c>
      <c r="F42">
        <v>49000</v>
      </c>
      <c r="G42">
        <v>2</v>
      </c>
    </row>
    <row r="43" spans="1:7" x14ac:dyDescent="0.3">
      <c r="A43" t="s">
        <v>64</v>
      </c>
      <c r="B43" s="1">
        <v>45699</v>
      </c>
      <c r="C43" t="s">
        <v>12</v>
      </c>
      <c r="D43" t="s">
        <v>20</v>
      </c>
      <c r="E43" t="s">
        <v>21</v>
      </c>
      <c r="F43">
        <v>3100</v>
      </c>
      <c r="G43">
        <v>8</v>
      </c>
    </row>
    <row r="44" spans="1:7" x14ac:dyDescent="0.3">
      <c r="A44" t="s">
        <v>65</v>
      </c>
      <c r="B44" s="1">
        <v>45700</v>
      </c>
      <c r="C44" t="s">
        <v>16</v>
      </c>
      <c r="D44" t="s">
        <v>13</v>
      </c>
      <c r="E44" t="s">
        <v>60</v>
      </c>
      <c r="F44">
        <v>36000</v>
      </c>
      <c r="G44">
        <v>1</v>
      </c>
    </row>
    <row r="45" spans="1:7" x14ac:dyDescent="0.3">
      <c r="A45" t="s">
        <v>66</v>
      </c>
      <c r="B45" s="1">
        <v>45701</v>
      </c>
      <c r="C45" t="s">
        <v>19</v>
      </c>
      <c r="D45" t="s">
        <v>9</v>
      </c>
      <c r="E45" t="s">
        <v>59</v>
      </c>
      <c r="F45">
        <v>19500</v>
      </c>
      <c r="G45">
        <v>3</v>
      </c>
    </row>
    <row r="46" spans="1:7" x14ac:dyDescent="0.3">
      <c r="A46" t="s">
        <v>67</v>
      </c>
      <c r="B46" s="1">
        <v>45702</v>
      </c>
      <c r="C46" t="s">
        <v>8</v>
      </c>
      <c r="D46" t="s">
        <v>20</v>
      </c>
      <c r="E46" t="s">
        <v>61</v>
      </c>
      <c r="F46">
        <v>5200</v>
      </c>
      <c r="G46">
        <v>4</v>
      </c>
    </row>
    <row r="47" spans="1:7" x14ac:dyDescent="0.3">
      <c r="A47" t="s">
        <v>68</v>
      </c>
      <c r="B47" s="1">
        <v>45703</v>
      </c>
      <c r="C47" t="s">
        <v>12</v>
      </c>
      <c r="D47" t="s">
        <v>13</v>
      </c>
      <c r="E47" t="s">
        <v>23</v>
      </c>
      <c r="F47">
        <v>14500</v>
      </c>
      <c r="G47">
        <v>2</v>
      </c>
    </row>
    <row r="48" spans="1:7" x14ac:dyDescent="0.3">
      <c r="A48" t="s">
        <v>69</v>
      </c>
      <c r="B48" s="1">
        <v>45704</v>
      </c>
      <c r="C48" t="s">
        <v>16</v>
      </c>
      <c r="D48" t="s">
        <v>9</v>
      </c>
      <c r="E48" t="s">
        <v>17</v>
      </c>
      <c r="F48">
        <v>25500</v>
      </c>
      <c r="G48">
        <v>5</v>
      </c>
    </row>
    <row r="49" spans="1:7" x14ac:dyDescent="0.3">
      <c r="A49" t="s">
        <v>70</v>
      </c>
      <c r="B49" s="1">
        <v>45705</v>
      </c>
      <c r="C49" t="s">
        <v>19</v>
      </c>
      <c r="D49" t="s">
        <v>20</v>
      </c>
      <c r="E49" t="s">
        <v>62</v>
      </c>
      <c r="F49">
        <v>6800</v>
      </c>
      <c r="G49">
        <v>3</v>
      </c>
    </row>
    <row r="50" spans="1:7" thickBot="1" x14ac:dyDescent="0.35">
      <c r="A50" t="s">
        <v>71</v>
      </c>
      <c r="B50" s="1">
        <v>45706</v>
      </c>
      <c r="C50" t="s">
        <v>8</v>
      </c>
      <c r="D50" t="s">
        <v>13</v>
      </c>
      <c r="E50" t="s">
        <v>14</v>
      </c>
      <c r="F50">
        <v>9200</v>
      </c>
      <c r="G50">
        <v>5</v>
      </c>
    </row>
    <row r="51" spans="1:7" ht="15" thickBot="1" x14ac:dyDescent="0.35">
      <c r="A51" t="s">
        <v>72</v>
      </c>
      <c r="B51" s="1">
        <v>45707</v>
      </c>
      <c r="C51" t="s">
        <v>12</v>
      </c>
      <c r="D51" t="s">
        <v>9</v>
      </c>
      <c r="E51" t="s">
        <v>10</v>
      </c>
      <c r="F51">
        <v>44000</v>
      </c>
      <c r="G51">
        <v>2</v>
      </c>
    </row>
    <row r="52" spans="1:7" x14ac:dyDescent="0.3">
      <c r="B52" s="1"/>
      <c r="D52" s="2">
        <f>COUNTIF(D2:D51,"electronics")</f>
        <v>18</v>
      </c>
      <c r="E52">
        <f>COUNTIF(E2:E51,"Mobile")</f>
        <v>7</v>
      </c>
      <c r="F52" s="8">
        <f>SUM(F2:F51)</f>
        <v>948100</v>
      </c>
    </row>
    <row r="53" spans="1:7" ht="15" thickBot="1" x14ac:dyDescent="0.35">
      <c r="D53" s="3" t="s">
        <v>74</v>
      </c>
      <c r="F53" s="9" t="s">
        <v>73</v>
      </c>
    </row>
    <row r="54" spans="1:7" x14ac:dyDescent="0.3">
      <c r="D54" s="6">
        <f>COUNTIF(D2:D51,"Clothing")</f>
        <v>15</v>
      </c>
      <c r="F54" t="s">
        <v>78</v>
      </c>
    </row>
    <row r="55" spans="1:7" ht="15" thickBot="1" x14ac:dyDescent="0.35">
      <c r="D55" s="7" t="s">
        <v>75</v>
      </c>
    </row>
    <row r="56" spans="1:7" x14ac:dyDescent="0.3">
      <c r="D56" s="4">
        <f>COUNTIF(D2:D51,"Furniture")</f>
        <v>17</v>
      </c>
    </row>
    <row r="57" spans="1:7" ht="15" thickBot="1" x14ac:dyDescent="0.35">
      <c r="D57" s="5" t="s">
        <v>76</v>
      </c>
    </row>
  </sheetData>
  <mergeCells count="28">
    <mergeCell ref="I23:K23"/>
    <mergeCell ref="I24:K24"/>
    <mergeCell ref="M17:O17"/>
    <mergeCell ref="M18:O18"/>
    <mergeCell ref="M20:O20"/>
    <mergeCell ref="M21:O21"/>
    <mergeCell ref="M23:O23"/>
    <mergeCell ref="M24:O24"/>
    <mergeCell ref="M13:O13"/>
    <mergeCell ref="I17:K17"/>
    <mergeCell ref="I18:K18"/>
    <mergeCell ref="I20:K20"/>
    <mergeCell ref="I21:K21"/>
    <mergeCell ref="I10:K10"/>
    <mergeCell ref="I12:K12"/>
    <mergeCell ref="I13:K13"/>
    <mergeCell ref="M3:O3"/>
    <mergeCell ref="M4:O4"/>
    <mergeCell ref="M6:O6"/>
    <mergeCell ref="M7:O7"/>
    <mergeCell ref="M9:O9"/>
    <mergeCell ref="M10:O10"/>
    <mergeCell ref="M12:O12"/>
    <mergeCell ref="I3:K3"/>
    <mergeCell ref="I4:K4"/>
    <mergeCell ref="I6:K6"/>
    <mergeCell ref="I7:K7"/>
    <mergeCell ref="I9:K9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FB76-A90D-473D-B4CC-8701A2DC5B26}">
  <dimension ref="A3:B22"/>
  <sheetViews>
    <sheetView workbookViewId="0">
      <selection activeCell="A12" sqref="A12:B22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0" t="s">
        <v>79</v>
      </c>
      <c r="B3" t="s">
        <v>80</v>
      </c>
    </row>
    <row r="4" spans="1:2" x14ac:dyDescent="0.3">
      <c r="A4" s="11" t="s">
        <v>8</v>
      </c>
      <c r="B4" s="12">
        <v>281200</v>
      </c>
    </row>
    <row r="5" spans="1:2" x14ac:dyDescent="0.3">
      <c r="A5" s="11" t="s">
        <v>16</v>
      </c>
      <c r="B5" s="12">
        <v>227200</v>
      </c>
    </row>
    <row r="6" spans="1:2" x14ac:dyDescent="0.3">
      <c r="A6" s="11" t="s">
        <v>19</v>
      </c>
      <c r="B6" s="12">
        <v>206600</v>
      </c>
    </row>
    <row r="7" spans="1:2" x14ac:dyDescent="0.3">
      <c r="A7" s="11" t="s">
        <v>12</v>
      </c>
      <c r="B7" s="12">
        <v>233100</v>
      </c>
    </row>
    <row r="8" spans="1:2" x14ac:dyDescent="0.3">
      <c r="A8" s="11" t="s">
        <v>81</v>
      </c>
      <c r="B8" s="12">
        <v>948100</v>
      </c>
    </row>
    <row r="12" spans="1:2" x14ac:dyDescent="0.3">
      <c r="A12" s="10" t="s">
        <v>79</v>
      </c>
      <c r="B12" t="s">
        <v>82</v>
      </c>
    </row>
    <row r="13" spans="1:2" x14ac:dyDescent="0.3">
      <c r="A13" s="11" t="s">
        <v>14</v>
      </c>
      <c r="B13" s="12">
        <v>6</v>
      </c>
    </row>
    <row r="14" spans="1:2" x14ac:dyDescent="0.3">
      <c r="A14" s="11" t="s">
        <v>62</v>
      </c>
      <c r="B14" s="12">
        <v>5</v>
      </c>
    </row>
    <row r="15" spans="1:2" x14ac:dyDescent="0.3">
      <c r="A15" s="11" t="s">
        <v>61</v>
      </c>
      <c r="B15" s="12">
        <v>5</v>
      </c>
    </row>
    <row r="16" spans="1:2" x14ac:dyDescent="0.3">
      <c r="A16" s="11" t="s">
        <v>10</v>
      </c>
      <c r="B16" s="12">
        <v>6</v>
      </c>
    </row>
    <row r="17" spans="1:2" x14ac:dyDescent="0.3">
      <c r="A17" s="11" t="s">
        <v>17</v>
      </c>
      <c r="B17" s="12">
        <v>7</v>
      </c>
    </row>
    <row r="18" spans="1:2" x14ac:dyDescent="0.3">
      <c r="A18" s="11" t="s">
        <v>60</v>
      </c>
      <c r="B18" s="12">
        <v>5</v>
      </c>
    </row>
    <row r="19" spans="1:2" x14ac:dyDescent="0.3">
      <c r="A19" s="11" t="s">
        <v>23</v>
      </c>
      <c r="B19" s="12">
        <v>6</v>
      </c>
    </row>
    <row r="20" spans="1:2" x14ac:dyDescent="0.3">
      <c r="A20" s="11" t="s">
        <v>59</v>
      </c>
      <c r="B20" s="12">
        <v>5</v>
      </c>
    </row>
    <row r="21" spans="1:2" x14ac:dyDescent="0.3">
      <c r="A21" s="11" t="s">
        <v>21</v>
      </c>
      <c r="B21" s="12">
        <v>5</v>
      </c>
    </row>
    <row r="22" spans="1:2" x14ac:dyDescent="0.3">
      <c r="A22" s="11" t="s">
        <v>81</v>
      </c>
      <c r="B22" s="1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afzal</dc:creator>
  <cp:lastModifiedBy>hafsa afzal</cp:lastModifiedBy>
  <cp:lastPrinted>2026-06-24T16:06:06Z</cp:lastPrinted>
  <dcterms:created xsi:type="dcterms:W3CDTF">2026-06-21T10:40:22Z</dcterms:created>
  <dcterms:modified xsi:type="dcterms:W3CDTF">2026-06-24T16:47:30Z</dcterms:modified>
</cp:coreProperties>
</file>